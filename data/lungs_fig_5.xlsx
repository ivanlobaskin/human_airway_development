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"/>
    </mc:Choice>
  </mc:AlternateContent>
  <xr:revisionPtr revIDLastSave="127" documentId="8_{5EE9FECA-21E8-4647-B0B2-043A43B2DCEB}" xr6:coauthVersionLast="47" xr6:coauthVersionMax="47" xr10:uidLastSave="{3B92238C-3049-46A4-B712-01CC140EA55D}"/>
  <bookViews>
    <workbookView xWindow="45972" yWindow="12696" windowWidth="23256" windowHeight="12456" activeTab="7" xr2:uid="{7518A0FC-9424-4804-A18F-B4B017FA5258}"/>
  </bookViews>
  <sheets>
    <sheet name="FIG 5b" sheetId="2" r:id="rId1"/>
    <sheet name="FIG 5c" sheetId="3" r:id="rId2"/>
    <sheet name="FIG 5e" sheetId="4" r:id="rId3"/>
    <sheet name="FIG 5i" sheetId="5" r:id="rId4"/>
    <sheet name="FIG 5j" sheetId="6" r:id="rId5"/>
    <sheet name="FIG 5l" sheetId="8" r:id="rId6"/>
    <sheet name="FIG 5m" sheetId="7" r:id="rId7"/>
    <sheet name="FIG 5n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5" l="1"/>
  <c r="D2" i="5" s="1"/>
  <c r="E2" i="5" s="1"/>
  <c r="F2" i="5" s="1"/>
  <c r="G2" i="5" s="1"/>
  <c r="H2" i="5" s="1"/>
  <c r="I2" i="5" s="1"/>
  <c r="J2" i="5" s="1"/>
  <c r="K2" i="5" s="1"/>
  <c r="D2" i="4"/>
  <c r="E2" i="4" s="1"/>
  <c r="F2" i="4" s="1"/>
  <c r="G2" i="4" s="1"/>
  <c r="H2" i="4" s="1"/>
  <c r="I2" i="4" s="1"/>
  <c r="J2" i="4" s="1"/>
  <c r="K2" i="4" s="1"/>
  <c r="L2" i="4" s="1"/>
  <c r="M2" i="4" s="1"/>
</calcChain>
</file>

<file path=xl/sharedStrings.xml><?xml version="1.0" encoding="utf-8"?>
<sst xmlns="http://schemas.openxmlformats.org/spreadsheetml/2006/main" count="43" uniqueCount="38">
  <si>
    <t>b</t>
  </si>
  <si>
    <t>a</t>
  </si>
  <si>
    <t>Concave hull volume (um^3)</t>
  </si>
  <si>
    <t>Ages (PCW)</t>
  </si>
  <si>
    <t>FIG 5b</t>
  </si>
  <si>
    <t>Number of tips</t>
  </si>
  <si>
    <t>FIG 5c</t>
  </si>
  <si>
    <t>smax</t>
  </si>
  <si>
    <t>ds</t>
  </si>
  <si>
    <t>s&lt;0.1</t>
  </si>
  <si>
    <t>Age (PCW)</t>
  </si>
  <si>
    <t>Number tips contained in scaled radius</t>
  </si>
  <si>
    <t>FIG 5e</t>
  </si>
  <si>
    <t>Diameter SE (um)</t>
  </si>
  <si>
    <t>Diameter mean (um)</t>
  </si>
  <si>
    <t xml:space="preserve">Length mean (um) </t>
  </si>
  <si>
    <t>Order</t>
  </si>
  <si>
    <t>FIG 5i</t>
  </si>
  <si>
    <t>FIG 5j</t>
  </si>
  <si>
    <t>Mean tip length (um)</t>
  </si>
  <si>
    <t>Mean tip diameter (um)</t>
  </si>
  <si>
    <t>FIG 5m</t>
  </si>
  <si>
    <t>Surface tip mean length (um)</t>
  </si>
  <si>
    <t>Bulk tip mean length (um)</t>
  </si>
  <si>
    <t>FIG 5l</t>
  </si>
  <si>
    <t>Mean length (um)</t>
  </si>
  <si>
    <t>Mean diameter (um)</t>
  </si>
  <si>
    <t>FIG 5n</t>
  </si>
  <si>
    <t xml:space="preserve">Ages (PCW) </t>
  </si>
  <si>
    <t>Total number of tips, N</t>
  </si>
  <si>
    <t>Number of surface tips, N_S</t>
  </si>
  <si>
    <t>Length SE (um)</t>
  </si>
  <si>
    <t>Tip length SEM (um)</t>
  </si>
  <si>
    <t>Tip diameter SEM (um)</t>
  </si>
  <si>
    <t>Length SEM (um)</t>
  </si>
  <si>
    <t>Diameter SEM (um)</t>
  </si>
  <si>
    <t>Surface tip length SEM (um)</t>
  </si>
  <si>
    <t>Bulk tip length SEM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</si>
</sst>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0" borderId="0" xfId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7D00-2788-4684-8C91-FEDABA7F96A6}">
  <dimension ref="A1:AH5"/>
  <sheetViews>
    <sheetView workbookViewId="0">
      <selection activeCell="B5" sqref="B5"/>
    </sheetView>
  </sheetViews>
  <sheetFormatPr defaultRowHeight="14.5" x14ac:dyDescent="0.35"/>
  <cols>
    <col min="1" max="1" width="27.1796875" customWidth="1"/>
  </cols>
  <sheetData>
    <row r="1" spans="1:34" x14ac:dyDescent="0.35">
      <c r="A1" t="s">
        <v>4</v>
      </c>
    </row>
    <row r="2" spans="1:34" x14ac:dyDescent="0.35">
      <c r="A2" t="s">
        <v>3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2</v>
      </c>
      <c r="B3">
        <v>97755</v>
      </c>
      <c r="C3">
        <v>13770000</v>
      </c>
      <c r="D3">
        <v>75200000</v>
      </c>
      <c r="E3">
        <v>6085700</v>
      </c>
      <c r="F3">
        <v>18560000</v>
      </c>
      <c r="G3">
        <v>26900000</v>
      </c>
      <c r="H3">
        <v>46520000</v>
      </c>
      <c r="I3">
        <v>99450000</v>
      </c>
      <c r="J3">
        <v>64110000</v>
      </c>
      <c r="K3">
        <v>504700000</v>
      </c>
      <c r="L3">
        <v>961500000</v>
      </c>
      <c r="M3">
        <v>2078000000</v>
      </c>
      <c r="N3">
        <v>3504000000</v>
      </c>
      <c r="O3">
        <v>2826000000</v>
      </c>
      <c r="P3">
        <v>2054000000</v>
      </c>
      <c r="Q3">
        <v>2879000000</v>
      </c>
      <c r="R3">
        <v>3982000000</v>
      </c>
      <c r="S3">
        <v>3243000000</v>
      </c>
      <c r="T3">
        <v>6965000000</v>
      </c>
      <c r="U3">
        <v>6496000000</v>
      </c>
      <c r="V3">
        <v>8029000000</v>
      </c>
      <c r="W3">
        <v>6954000000</v>
      </c>
      <c r="X3">
        <v>7344000000</v>
      </c>
      <c r="Y3">
        <v>9375000000</v>
      </c>
      <c r="Z3">
        <v>9412000000</v>
      </c>
      <c r="AA3">
        <v>7502000000</v>
      </c>
      <c r="AB3">
        <v>9848000000</v>
      </c>
      <c r="AC3">
        <v>17200000000</v>
      </c>
      <c r="AD3">
        <v>24130000000</v>
      </c>
      <c r="AE3">
        <v>21320000000</v>
      </c>
      <c r="AF3">
        <v>31290000000</v>
      </c>
      <c r="AG3">
        <v>42290000000</v>
      </c>
      <c r="AH3">
        <v>55830000000</v>
      </c>
    </row>
    <row r="4" spans="1:34" x14ac:dyDescent="0.35">
      <c r="A4" t="s">
        <v>1</v>
      </c>
      <c r="B4">
        <v>1.4563900000000001</v>
      </c>
    </row>
    <row r="5" spans="1:34" x14ac:dyDescent="0.35">
      <c r="A5" t="s">
        <v>0</v>
      </c>
      <c r="B5">
        <v>-5.7732599999999996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481B-FF10-4F66-812C-D9BE525EE375}">
  <dimension ref="A1:AH5"/>
  <sheetViews>
    <sheetView workbookViewId="0">
      <selection activeCell="W9" sqref="W9"/>
    </sheetView>
  </sheetViews>
  <sheetFormatPr defaultRowHeight="14.5" x14ac:dyDescent="0.35"/>
  <cols>
    <col min="1" max="1" width="26.81640625" customWidth="1"/>
    <col min="2" max="2" width="10.81640625" bestFit="1" customWidth="1"/>
  </cols>
  <sheetData>
    <row r="1" spans="1:34" x14ac:dyDescent="0.35">
      <c r="A1" t="s">
        <v>6</v>
      </c>
    </row>
    <row r="2" spans="1:34" x14ac:dyDescent="0.35">
      <c r="A2" t="s">
        <v>3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2</v>
      </c>
      <c r="B3">
        <v>97755</v>
      </c>
      <c r="C3">
        <v>13770000</v>
      </c>
      <c r="D3">
        <v>75200000</v>
      </c>
      <c r="E3">
        <v>6085700</v>
      </c>
      <c r="F3">
        <v>18560000</v>
      </c>
      <c r="G3">
        <v>26900000</v>
      </c>
      <c r="H3">
        <v>46520000</v>
      </c>
      <c r="I3">
        <v>99450000</v>
      </c>
      <c r="J3">
        <v>64110000</v>
      </c>
      <c r="K3">
        <v>504700000</v>
      </c>
      <c r="L3">
        <v>961500000</v>
      </c>
      <c r="M3">
        <v>2078000000</v>
      </c>
      <c r="N3">
        <v>3504000000</v>
      </c>
      <c r="O3">
        <v>2826000000</v>
      </c>
      <c r="P3">
        <v>2054000000</v>
      </c>
      <c r="Q3">
        <v>2879000000</v>
      </c>
      <c r="R3">
        <v>3982000000</v>
      </c>
      <c r="S3">
        <v>3243000000</v>
      </c>
      <c r="T3">
        <v>6965000000</v>
      </c>
      <c r="U3">
        <v>6496000000</v>
      </c>
      <c r="V3">
        <v>8029000000</v>
      </c>
      <c r="W3">
        <v>6954000000</v>
      </c>
      <c r="X3">
        <v>7344000000</v>
      </c>
      <c r="Y3">
        <v>9375000000</v>
      </c>
      <c r="Z3">
        <v>9412000000</v>
      </c>
      <c r="AA3">
        <v>7502000000</v>
      </c>
      <c r="AB3">
        <v>9848000000</v>
      </c>
      <c r="AC3">
        <v>17200000000</v>
      </c>
      <c r="AD3">
        <v>24130000000</v>
      </c>
      <c r="AE3">
        <v>21320000000</v>
      </c>
      <c r="AF3">
        <v>31290000000</v>
      </c>
      <c r="AG3">
        <v>42290000000</v>
      </c>
      <c r="AH3">
        <v>55830000000</v>
      </c>
    </row>
    <row r="4" spans="1:34" x14ac:dyDescent="0.35">
      <c r="A4" t="s">
        <v>5</v>
      </c>
      <c r="B4">
        <v>3</v>
      </c>
      <c r="C4">
        <v>7</v>
      </c>
      <c r="D4">
        <v>9</v>
      </c>
      <c r="E4">
        <v>13</v>
      </c>
      <c r="F4">
        <v>18</v>
      </c>
      <c r="G4">
        <v>14</v>
      </c>
      <c r="H4">
        <v>22</v>
      </c>
      <c r="I4">
        <v>22</v>
      </c>
      <c r="J4">
        <v>21</v>
      </c>
      <c r="K4">
        <v>46</v>
      </c>
      <c r="L4">
        <v>55</v>
      </c>
      <c r="M4">
        <v>145</v>
      </c>
      <c r="N4">
        <v>349</v>
      </c>
      <c r="O4">
        <v>360</v>
      </c>
      <c r="P4">
        <v>243</v>
      </c>
      <c r="Q4">
        <v>361</v>
      </c>
      <c r="R4">
        <v>500</v>
      </c>
      <c r="S4">
        <v>545</v>
      </c>
      <c r="T4">
        <v>760</v>
      </c>
      <c r="U4">
        <v>1019</v>
      </c>
      <c r="V4">
        <v>1143</v>
      </c>
      <c r="W4">
        <v>1508</v>
      </c>
      <c r="X4">
        <v>1254</v>
      </c>
      <c r="Y4">
        <v>1403</v>
      </c>
      <c r="Z4">
        <v>1594</v>
      </c>
      <c r="AA4">
        <v>1652</v>
      </c>
      <c r="AB4">
        <v>2010</v>
      </c>
      <c r="AC4">
        <v>4127</v>
      </c>
      <c r="AD4">
        <v>6780</v>
      </c>
      <c r="AE4">
        <v>8722</v>
      </c>
      <c r="AF4">
        <v>12393</v>
      </c>
      <c r="AG4">
        <v>21027</v>
      </c>
      <c r="AH4">
        <v>23081</v>
      </c>
    </row>
    <row r="5" spans="1:34" x14ac:dyDescent="0.35">
      <c r="A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B521-EB6E-4528-8A29-DED7DEF26D83}">
  <dimension ref="A1:M8"/>
  <sheetViews>
    <sheetView workbookViewId="0">
      <selection activeCell="B8" sqref="B8"/>
    </sheetView>
  </sheetViews>
  <sheetFormatPr defaultRowHeight="14.5" x14ac:dyDescent="0.35"/>
  <cols>
    <col min="1" max="1" width="11.1796875" customWidth="1"/>
    <col min="2" max="2" width="12" bestFit="1" customWidth="1"/>
  </cols>
  <sheetData>
    <row r="1" spans="1:13" x14ac:dyDescent="0.35">
      <c r="A1" t="s">
        <v>12</v>
      </c>
      <c r="B1" t="s">
        <v>11</v>
      </c>
    </row>
    <row r="2" spans="1:13" x14ac:dyDescent="0.35">
      <c r="A2" t="s">
        <v>10</v>
      </c>
      <c r="B2" t="s">
        <v>9</v>
      </c>
      <c r="C2">
        <v>0.2</v>
      </c>
      <c r="D2">
        <f t="shared" ref="D2:M2" si="0">C2+0.1</f>
        <v>0.30000000000000004</v>
      </c>
      <c r="E2">
        <f t="shared" si="0"/>
        <v>0.4</v>
      </c>
      <c r="F2">
        <f t="shared" si="0"/>
        <v>0.5</v>
      </c>
      <c r="G2">
        <f t="shared" si="0"/>
        <v>0.6</v>
      </c>
      <c r="H2">
        <f t="shared" si="0"/>
        <v>0.7</v>
      </c>
      <c r="I2">
        <f t="shared" si="0"/>
        <v>0.79999999999999993</v>
      </c>
      <c r="J2">
        <f t="shared" si="0"/>
        <v>0.89999999999999991</v>
      </c>
      <c r="K2">
        <f t="shared" si="0"/>
        <v>0.99999999999999989</v>
      </c>
      <c r="L2">
        <f t="shared" si="0"/>
        <v>1.0999999999999999</v>
      </c>
      <c r="M2">
        <f t="shared" si="0"/>
        <v>1.2</v>
      </c>
    </row>
    <row r="3" spans="1:13" x14ac:dyDescent="0.35">
      <c r="A3">
        <v>8.3000000000000007</v>
      </c>
      <c r="B3">
        <v>0</v>
      </c>
      <c r="C3">
        <v>6</v>
      </c>
      <c r="D3">
        <v>22</v>
      </c>
      <c r="E3">
        <v>47</v>
      </c>
      <c r="F3">
        <v>92</v>
      </c>
      <c r="G3">
        <v>138</v>
      </c>
      <c r="H3">
        <v>204</v>
      </c>
      <c r="I3">
        <v>294</v>
      </c>
      <c r="J3">
        <v>430</v>
      </c>
      <c r="K3">
        <v>463</v>
      </c>
      <c r="L3">
        <v>462</v>
      </c>
      <c r="M3">
        <v>464</v>
      </c>
    </row>
    <row r="4" spans="1:13" x14ac:dyDescent="0.35">
      <c r="A4">
        <v>8.6999999999999993</v>
      </c>
      <c r="B4">
        <v>2</v>
      </c>
      <c r="C4">
        <v>10</v>
      </c>
      <c r="D4">
        <v>40</v>
      </c>
      <c r="E4">
        <v>100</v>
      </c>
      <c r="F4">
        <v>184</v>
      </c>
      <c r="G4">
        <v>311</v>
      </c>
      <c r="H4">
        <v>452</v>
      </c>
      <c r="I4">
        <v>611</v>
      </c>
      <c r="J4">
        <v>922</v>
      </c>
      <c r="K4">
        <v>999</v>
      </c>
      <c r="L4">
        <v>1003</v>
      </c>
      <c r="M4">
        <v>1003</v>
      </c>
    </row>
    <row r="5" spans="1:13" x14ac:dyDescent="0.35">
      <c r="A5">
        <v>9.6999999999999993</v>
      </c>
      <c r="B5">
        <v>3</v>
      </c>
      <c r="C5">
        <v>28</v>
      </c>
      <c r="D5">
        <v>81</v>
      </c>
      <c r="E5">
        <v>184</v>
      </c>
      <c r="F5">
        <v>343</v>
      </c>
      <c r="G5">
        <v>563</v>
      </c>
      <c r="H5">
        <v>892</v>
      </c>
      <c r="I5">
        <v>1274</v>
      </c>
      <c r="J5">
        <v>1801</v>
      </c>
      <c r="K5">
        <v>1951</v>
      </c>
      <c r="L5">
        <v>1952</v>
      </c>
      <c r="M5">
        <v>1955</v>
      </c>
    </row>
    <row r="6" spans="1:13" x14ac:dyDescent="0.35">
      <c r="A6">
        <v>10.199999999999999</v>
      </c>
      <c r="B6">
        <v>9</v>
      </c>
      <c r="C6">
        <v>75</v>
      </c>
      <c r="D6">
        <v>246</v>
      </c>
      <c r="E6">
        <v>590</v>
      </c>
      <c r="F6">
        <v>1092</v>
      </c>
      <c r="G6">
        <v>1869</v>
      </c>
      <c r="H6">
        <v>2951</v>
      </c>
      <c r="I6">
        <v>4297</v>
      </c>
      <c r="J6">
        <v>5951</v>
      </c>
      <c r="K6">
        <v>6727</v>
      </c>
      <c r="L6">
        <v>6730</v>
      </c>
      <c r="M6">
        <v>6728</v>
      </c>
    </row>
    <row r="7" spans="1:13" x14ac:dyDescent="0.35">
      <c r="A7" t="s">
        <v>8</v>
      </c>
      <c r="B7">
        <v>0.1</v>
      </c>
    </row>
    <row r="8" spans="1:13" x14ac:dyDescent="0.35">
      <c r="A8" t="s">
        <v>7</v>
      </c>
      <c r="B8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61FD-81D4-4DD4-BA1A-2F88FAC42B6A}">
  <dimension ref="A1:K6"/>
  <sheetViews>
    <sheetView workbookViewId="0">
      <selection activeCell="A5" sqref="A5"/>
    </sheetView>
  </sheetViews>
  <sheetFormatPr defaultRowHeight="14.5" x14ac:dyDescent="0.35"/>
  <cols>
    <col min="1" max="1" width="19.81640625" customWidth="1"/>
  </cols>
  <sheetData>
    <row r="1" spans="1:11" x14ac:dyDescent="0.35">
      <c r="A1" t="s">
        <v>17</v>
      </c>
    </row>
    <row r="2" spans="1:11" x14ac:dyDescent="0.35">
      <c r="A2" t="s">
        <v>16</v>
      </c>
      <c r="B2">
        <v>1</v>
      </c>
      <c r="C2">
        <f t="shared" ref="C2:K2" si="0">B2+1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</row>
    <row r="3" spans="1:11" x14ac:dyDescent="0.35">
      <c r="A3" t="s">
        <v>15</v>
      </c>
      <c r="B3">
        <v>68.978099999999998</v>
      </c>
      <c r="C3">
        <v>75.737300000000005</v>
      </c>
      <c r="D3">
        <v>94.075100000000006</v>
      </c>
      <c r="E3">
        <v>124.303</v>
      </c>
      <c r="F3">
        <v>162.90600000000001</v>
      </c>
      <c r="G3">
        <v>254.43700000000001</v>
      </c>
      <c r="H3">
        <v>313.04899999999998</v>
      </c>
      <c r="I3">
        <v>373.94200000000001</v>
      </c>
      <c r="J3">
        <v>549.36900000000003</v>
      </c>
      <c r="K3">
        <v>532.05600000000004</v>
      </c>
    </row>
    <row r="4" spans="1:11" x14ac:dyDescent="0.35">
      <c r="A4" t="s">
        <v>31</v>
      </c>
      <c r="B4">
        <v>0.42466599999999999</v>
      </c>
      <c r="C4">
        <v>0.37274800000000002</v>
      </c>
      <c r="D4">
        <v>0.74193900000000002</v>
      </c>
      <c r="E4">
        <v>1.73769</v>
      </c>
      <c r="F4">
        <v>3.4127000000000001</v>
      </c>
      <c r="G4">
        <v>12.794700000000001</v>
      </c>
      <c r="H4">
        <v>21.3185</v>
      </c>
      <c r="I4">
        <v>36.604500000000002</v>
      </c>
      <c r="J4">
        <v>34.429099999999998</v>
      </c>
      <c r="K4">
        <v>343.06099999999998</v>
      </c>
    </row>
    <row r="5" spans="1:11" x14ac:dyDescent="0.35">
      <c r="A5" t="s">
        <v>14</v>
      </c>
      <c r="B5">
        <v>69.119900000000001</v>
      </c>
      <c r="C5">
        <v>58.688699999999997</v>
      </c>
      <c r="D5">
        <v>70.293899999999994</v>
      </c>
      <c r="E5">
        <v>86.359399999999994</v>
      </c>
      <c r="F5">
        <v>101.286</v>
      </c>
      <c r="G5">
        <v>115.88200000000001</v>
      </c>
      <c r="H5">
        <v>131.71600000000001</v>
      </c>
      <c r="I5">
        <v>146.709</v>
      </c>
      <c r="J5">
        <v>159.136</v>
      </c>
      <c r="K5">
        <v>138.87299999999999</v>
      </c>
    </row>
    <row r="6" spans="1:11" x14ac:dyDescent="0.35">
      <c r="A6" t="s">
        <v>13</v>
      </c>
      <c r="B6">
        <v>6.9348999999999994E-2</v>
      </c>
      <c r="C6">
        <v>9.8889699999999997E-2</v>
      </c>
      <c r="D6">
        <v>0.20634</v>
      </c>
      <c r="E6">
        <v>0.36070999999999998</v>
      </c>
      <c r="F6">
        <v>0.67896199999999995</v>
      </c>
      <c r="G6">
        <v>1.4160299999999999</v>
      </c>
      <c r="H6">
        <v>2.2525599999999999</v>
      </c>
      <c r="I6">
        <v>3.0710299999999999</v>
      </c>
      <c r="J6">
        <v>8.3028099999999991</v>
      </c>
      <c r="K6">
        <v>20.814599999999999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FAB3-8894-4FBD-8B8B-4231B10A144A}">
  <dimension ref="A1:AH6"/>
  <sheetViews>
    <sheetView workbookViewId="0">
      <selection activeCell="A7" sqref="A7"/>
    </sheetView>
  </sheetViews>
  <sheetFormatPr defaultRowHeight="14.5" x14ac:dyDescent="0.35"/>
  <cols>
    <col min="1" max="1" width="22.1796875" customWidth="1"/>
  </cols>
  <sheetData>
    <row r="1" spans="1:34" x14ac:dyDescent="0.35">
      <c r="A1" t="s">
        <v>18</v>
      </c>
    </row>
    <row r="2" spans="1:34" x14ac:dyDescent="0.35">
      <c r="A2" t="s">
        <v>3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19</v>
      </c>
      <c r="B3">
        <v>156.69999999999999</v>
      </c>
      <c r="C3">
        <v>104.8</v>
      </c>
      <c r="D3">
        <v>108.5</v>
      </c>
      <c r="E3">
        <v>138.5</v>
      </c>
      <c r="F3">
        <v>184.6</v>
      </c>
      <c r="G3">
        <v>141</v>
      </c>
      <c r="H3">
        <v>117.8</v>
      </c>
      <c r="I3">
        <v>157.6</v>
      </c>
      <c r="J3">
        <v>159.4</v>
      </c>
      <c r="K3">
        <v>172.5</v>
      </c>
      <c r="L3">
        <v>228</v>
      </c>
      <c r="M3">
        <v>174.6</v>
      </c>
      <c r="N3">
        <v>143.80000000000001</v>
      </c>
      <c r="O3">
        <v>129.9</v>
      </c>
      <c r="P3">
        <v>148</v>
      </c>
      <c r="Q3">
        <v>125.7</v>
      </c>
      <c r="R3">
        <v>113</v>
      </c>
      <c r="S3">
        <v>117.9</v>
      </c>
      <c r="T3">
        <v>125.2</v>
      </c>
      <c r="U3">
        <v>110.9</v>
      </c>
      <c r="V3">
        <v>110.9</v>
      </c>
      <c r="W3">
        <v>90.7</v>
      </c>
      <c r="X3">
        <v>103.8</v>
      </c>
      <c r="Y3">
        <v>100.7</v>
      </c>
      <c r="Z3">
        <v>95.7</v>
      </c>
      <c r="AA3">
        <v>85.5</v>
      </c>
      <c r="AB3">
        <v>92.1</v>
      </c>
      <c r="AC3">
        <v>77.599999999999994</v>
      </c>
      <c r="AD3">
        <v>69</v>
      </c>
      <c r="AE3">
        <v>60</v>
      </c>
      <c r="AF3">
        <v>58.2</v>
      </c>
      <c r="AG3">
        <v>58</v>
      </c>
      <c r="AH3">
        <v>58.3</v>
      </c>
    </row>
    <row r="4" spans="1:34" x14ac:dyDescent="0.35">
      <c r="A4" t="s">
        <v>32</v>
      </c>
      <c r="B4">
        <v>38.799999999999997</v>
      </c>
      <c r="C4">
        <v>26.5</v>
      </c>
      <c r="D4">
        <v>29.6</v>
      </c>
      <c r="E4">
        <v>21.8</v>
      </c>
      <c r="F4">
        <v>25.9</v>
      </c>
      <c r="G4">
        <v>18.2</v>
      </c>
      <c r="H4">
        <v>10.8</v>
      </c>
      <c r="I4">
        <v>21.2</v>
      </c>
      <c r="J4">
        <v>23.5</v>
      </c>
      <c r="K4">
        <v>18.5</v>
      </c>
      <c r="L4">
        <v>23</v>
      </c>
      <c r="M4">
        <v>8.56</v>
      </c>
      <c r="N4">
        <v>4.87</v>
      </c>
      <c r="O4">
        <v>4.33</v>
      </c>
      <c r="P4">
        <v>5.61</v>
      </c>
      <c r="Q4">
        <v>4.3099999999999996</v>
      </c>
      <c r="R4">
        <v>3.17</v>
      </c>
      <c r="S4">
        <v>2.99</v>
      </c>
      <c r="T4">
        <v>2.67</v>
      </c>
      <c r="U4">
        <v>1.88</v>
      </c>
      <c r="V4">
        <v>1.8</v>
      </c>
      <c r="W4">
        <v>1.38</v>
      </c>
      <c r="X4">
        <v>1.75</v>
      </c>
      <c r="Y4">
        <v>1.68</v>
      </c>
      <c r="Z4">
        <v>1.3</v>
      </c>
      <c r="AA4">
        <v>1.18</v>
      </c>
      <c r="AB4">
        <v>1.1299999999999999</v>
      </c>
      <c r="AC4">
        <v>0.66100000000000003</v>
      </c>
      <c r="AD4">
        <v>0.42499999999999999</v>
      </c>
      <c r="AE4">
        <v>0.33200000000000002</v>
      </c>
      <c r="AF4">
        <v>0.25700000000000001</v>
      </c>
      <c r="AG4">
        <v>0.20100000000000001</v>
      </c>
      <c r="AH4">
        <v>0.184</v>
      </c>
    </row>
    <row r="5" spans="1:34" x14ac:dyDescent="0.35">
      <c r="A5" t="s">
        <v>20</v>
      </c>
      <c r="B5">
        <v>106.4</v>
      </c>
      <c r="C5">
        <v>84.2</v>
      </c>
      <c r="D5">
        <v>108.7</v>
      </c>
      <c r="E5">
        <v>77.8</v>
      </c>
      <c r="F5">
        <v>107.2</v>
      </c>
      <c r="G5">
        <v>73.2</v>
      </c>
      <c r="H5">
        <v>72.3</v>
      </c>
      <c r="I5">
        <v>97.6</v>
      </c>
      <c r="J5">
        <v>93.7</v>
      </c>
      <c r="K5">
        <v>91.3</v>
      </c>
      <c r="L5">
        <v>93.9</v>
      </c>
      <c r="M5">
        <v>94.2</v>
      </c>
      <c r="N5">
        <v>79.3</v>
      </c>
      <c r="O5">
        <v>80.8</v>
      </c>
      <c r="P5">
        <v>72</v>
      </c>
      <c r="Q5">
        <v>72.7</v>
      </c>
      <c r="R5">
        <v>91.2</v>
      </c>
      <c r="S5">
        <v>70.5</v>
      </c>
      <c r="T5">
        <v>82.3</v>
      </c>
      <c r="U5">
        <v>71</v>
      </c>
      <c r="V5">
        <v>77.3</v>
      </c>
      <c r="W5">
        <v>73</v>
      </c>
      <c r="X5">
        <v>69.8</v>
      </c>
      <c r="Y5">
        <v>83.8</v>
      </c>
      <c r="Z5">
        <v>76.400000000000006</v>
      </c>
      <c r="AA5">
        <v>68.900000000000006</v>
      </c>
      <c r="AB5">
        <v>75.2</v>
      </c>
      <c r="AC5">
        <v>71.7</v>
      </c>
      <c r="AD5">
        <v>69.099999999999994</v>
      </c>
      <c r="AE5">
        <v>69</v>
      </c>
      <c r="AF5">
        <v>71.099999999999994</v>
      </c>
      <c r="AG5">
        <v>68.7</v>
      </c>
    </row>
    <row r="6" spans="1:34" x14ac:dyDescent="0.35">
      <c r="A6" t="s">
        <v>33</v>
      </c>
      <c r="B6">
        <v>5.0010000000000003</v>
      </c>
      <c r="C6">
        <v>2.0499999999999998</v>
      </c>
      <c r="D6">
        <v>4.91</v>
      </c>
      <c r="E6">
        <v>2.04</v>
      </c>
      <c r="F6">
        <v>2.2200000000000002</v>
      </c>
      <c r="G6">
        <v>2.0499999999999998</v>
      </c>
      <c r="H6">
        <v>1.17</v>
      </c>
      <c r="I6">
        <v>1.49</v>
      </c>
      <c r="J6">
        <v>2.77</v>
      </c>
      <c r="K6">
        <v>1.29</v>
      </c>
      <c r="L6">
        <v>2.2000000000000002</v>
      </c>
      <c r="M6">
        <v>0.99</v>
      </c>
      <c r="N6">
        <v>0.92</v>
      </c>
      <c r="O6">
        <v>0.54700000000000004</v>
      </c>
      <c r="P6">
        <v>0.83799999999999997</v>
      </c>
      <c r="Q6">
        <v>0.88600000000000001</v>
      </c>
      <c r="R6">
        <v>0.57599999999999996</v>
      </c>
      <c r="S6">
        <v>0.46600000000000003</v>
      </c>
      <c r="T6">
        <v>0.29199999999999998</v>
      </c>
      <c r="U6">
        <v>0.25</v>
      </c>
      <c r="V6">
        <v>0.33800000000000002</v>
      </c>
      <c r="W6">
        <v>0.29899999999999999</v>
      </c>
      <c r="X6">
        <v>0.216</v>
      </c>
      <c r="Y6">
        <v>0.32200000000000001</v>
      </c>
      <c r="Z6">
        <v>0.22</v>
      </c>
      <c r="AA6">
        <v>0.18099999999999999</v>
      </c>
      <c r="AB6">
        <v>0.20200000000000001</v>
      </c>
      <c r="AC6">
        <v>0.121</v>
      </c>
      <c r="AD6">
        <v>6.9400000000000003E-2</v>
      </c>
      <c r="AE6">
        <v>7.1800000000000003E-2</v>
      </c>
      <c r="AF6">
        <v>4.5600000000000002E-2</v>
      </c>
      <c r="AG6">
        <v>4.7300000000000002E-2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2885-401B-4584-A2D5-06B14AF116C8}">
  <dimension ref="A1:AG6"/>
  <sheetViews>
    <sheetView workbookViewId="0">
      <selection activeCell="AB16" sqref="AB16"/>
    </sheetView>
  </sheetViews>
  <sheetFormatPr defaultRowHeight="14.5" x14ac:dyDescent="0.35"/>
  <cols>
    <col min="1" max="1" width="20.81640625" customWidth="1"/>
  </cols>
  <sheetData>
    <row r="1" spans="1:33" x14ac:dyDescent="0.35">
      <c r="A1" t="s">
        <v>24</v>
      </c>
    </row>
    <row r="2" spans="1:33" x14ac:dyDescent="0.35">
      <c r="A2" t="s">
        <v>3</v>
      </c>
      <c r="B2">
        <v>6.1</v>
      </c>
      <c r="C2">
        <v>6.1</v>
      </c>
      <c r="D2">
        <v>6.1</v>
      </c>
      <c r="E2">
        <v>6.3</v>
      </c>
      <c r="F2">
        <v>6.6</v>
      </c>
      <c r="G2">
        <v>6.6</v>
      </c>
      <c r="H2">
        <v>6.6</v>
      </c>
      <c r="I2">
        <v>7</v>
      </c>
      <c r="J2">
        <v>7.3</v>
      </c>
      <c r="K2">
        <v>6.9</v>
      </c>
      <c r="L2">
        <v>7.6</v>
      </c>
      <c r="M2">
        <v>8</v>
      </c>
      <c r="N2">
        <v>8</v>
      </c>
      <c r="O2">
        <v>8.3000000000000007</v>
      </c>
      <c r="P2">
        <v>8.3000000000000007</v>
      </c>
      <c r="Q2">
        <v>8.3000000000000007</v>
      </c>
      <c r="R2">
        <v>8.3000000000000007</v>
      </c>
      <c r="S2">
        <v>8.6999999999999993</v>
      </c>
      <c r="T2">
        <v>8.6999999999999993</v>
      </c>
      <c r="U2">
        <v>8.6999999999999993</v>
      </c>
      <c r="V2">
        <v>9</v>
      </c>
      <c r="W2">
        <v>9.4</v>
      </c>
      <c r="X2">
        <v>9.4</v>
      </c>
      <c r="Y2">
        <v>9.6999999999999993</v>
      </c>
      <c r="Z2">
        <v>9.6999999999999993</v>
      </c>
      <c r="AA2">
        <v>9.6999999999999993</v>
      </c>
      <c r="AB2">
        <v>9.9</v>
      </c>
      <c r="AC2">
        <v>10.199999999999999</v>
      </c>
      <c r="AD2">
        <v>11.1</v>
      </c>
      <c r="AE2">
        <v>11.1</v>
      </c>
      <c r="AF2">
        <v>11.6</v>
      </c>
      <c r="AG2">
        <v>12</v>
      </c>
    </row>
    <row r="3" spans="1:33" x14ac:dyDescent="0.35">
      <c r="A3" t="s">
        <v>25</v>
      </c>
      <c r="B3">
        <v>130</v>
      </c>
      <c r="C3">
        <v>229</v>
      </c>
      <c r="D3">
        <v>134</v>
      </c>
      <c r="E3">
        <v>217</v>
      </c>
      <c r="F3">
        <v>132</v>
      </c>
      <c r="G3">
        <v>127</v>
      </c>
      <c r="H3">
        <v>192</v>
      </c>
      <c r="I3">
        <v>205</v>
      </c>
      <c r="J3">
        <v>235</v>
      </c>
      <c r="K3">
        <v>228</v>
      </c>
      <c r="L3">
        <v>309</v>
      </c>
      <c r="M3">
        <v>345</v>
      </c>
      <c r="N3">
        <v>258</v>
      </c>
      <c r="O3">
        <v>278</v>
      </c>
      <c r="P3">
        <v>347</v>
      </c>
      <c r="Q3">
        <v>415</v>
      </c>
      <c r="R3">
        <v>310</v>
      </c>
      <c r="S3">
        <v>319</v>
      </c>
      <c r="T3">
        <v>254</v>
      </c>
      <c r="U3">
        <v>270</v>
      </c>
      <c r="V3">
        <v>350</v>
      </c>
      <c r="W3">
        <v>289</v>
      </c>
      <c r="X3">
        <v>392</v>
      </c>
      <c r="Y3">
        <v>334</v>
      </c>
      <c r="Z3">
        <v>312</v>
      </c>
      <c r="AA3">
        <v>386</v>
      </c>
      <c r="AB3">
        <v>372</v>
      </c>
      <c r="AC3">
        <v>434</v>
      </c>
      <c r="AD3">
        <v>456</v>
      </c>
      <c r="AE3">
        <v>570</v>
      </c>
      <c r="AF3">
        <v>891</v>
      </c>
      <c r="AG3">
        <v>664</v>
      </c>
    </row>
    <row r="4" spans="1:33" x14ac:dyDescent="0.35">
      <c r="A4" t="s">
        <v>34</v>
      </c>
      <c r="B4">
        <v>29.8</v>
      </c>
      <c r="C4">
        <v>23.4</v>
      </c>
      <c r="D4">
        <v>24.4</v>
      </c>
      <c r="E4">
        <v>25.9</v>
      </c>
      <c r="F4">
        <v>22</v>
      </c>
      <c r="G4">
        <v>19.899999999999999</v>
      </c>
      <c r="H4">
        <v>42.8</v>
      </c>
      <c r="I4">
        <v>27.9</v>
      </c>
      <c r="J4">
        <v>35.9</v>
      </c>
      <c r="K4">
        <v>24.4</v>
      </c>
      <c r="L4">
        <v>25.1</v>
      </c>
      <c r="M4">
        <v>17.3</v>
      </c>
      <c r="N4">
        <v>49.6</v>
      </c>
      <c r="O4">
        <v>35.4</v>
      </c>
      <c r="P4">
        <v>33.299999999999997</v>
      </c>
      <c r="Q4">
        <v>84</v>
      </c>
      <c r="R4">
        <v>47.56</v>
      </c>
      <c r="S4">
        <v>34.200000000000003</v>
      </c>
      <c r="T4">
        <v>31.8</v>
      </c>
      <c r="U4">
        <v>26.7</v>
      </c>
      <c r="V4">
        <v>60.7</v>
      </c>
      <c r="W4">
        <v>33</v>
      </c>
      <c r="X4">
        <v>27.9</v>
      </c>
      <c r="Y4">
        <v>32.4</v>
      </c>
      <c r="Z4">
        <v>35</v>
      </c>
      <c r="AA4">
        <v>28.4</v>
      </c>
      <c r="AB4">
        <v>57.6</v>
      </c>
      <c r="AC4">
        <v>61.1</v>
      </c>
      <c r="AD4">
        <v>71.7</v>
      </c>
      <c r="AE4">
        <v>57.3</v>
      </c>
      <c r="AF4">
        <v>347</v>
      </c>
      <c r="AG4">
        <v>98.6</v>
      </c>
    </row>
    <row r="5" spans="1:33" x14ac:dyDescent="0.35">
      <c r="A5" t="s">
        <v>26</v>
      </c>
      <c r="B5">
        <v>84</v>
      </c>
      <c r="C5">
        <v>103</v>
      </c>
      <c r="D5">
        <v>94</v>
      </c>
      <c r="E5">
        <v>107</v>
      </c>
      <c r="F5">
        <v>70</v>
      </c>
      <c r="G5">
        <v>89</v>
      </c>
      <c r="H5">
        <v>94</v>
      </c>
      <c r="I5">
        <v>89</v>
      </c>
      <c r="J5">
        <v>104</v>
      </c>
      <c r="K5">
        <v>117</v>
      </c>
      <c r="L5">
        <v>150</v>
      </c>
      <c r="M5">
        <v>132</v>
      </c>
      <c r="N5">
        <v>135</v>
      </c>
      <c r="O5">
        <v>115</v>
      </c>
      <c r="P5">
        <v>116</v>
      </c>
      <c r="Q5">
        <v>146</v>
      </c>
      <c r="R5">
        <v>102</v>
      </c>
      <c r="S5">
        <v>149</v>
      </c>
      <c r="T5">
        <v>136</v>
      </c>
      <c r="U5">
        <v>133</v>
      </c>
      <c r="V5">
        <v>131</v>
      </c>
      <c r="W5">
        <v>122</v>
      </c>
      <c r="X5">
        <v>146</v>
      </c>
      <c r="Y5">
        <v>134</v>
      </c>
      <c r="Z5">
        <v>117</v>
      </c>
      <c r="AA5">
        <v>134</v>
      </c>
      <c r="AB5">
        <v>136</v>
      </c>
      <c r="AC5">
        <v>151</v>
      </c>
      <c r="AD5">
        <v>159</v>
      </c>
      <c r="AE5">
        <v>172</v>
      </c>
      <c r="AF5">
        <v>167</v>
      </c>
    </row>
    <row r="6" spans="1:33" x14ac:dyDescent="0.35">
      <c r="A6" t="s">
        <v>35</v>
      </c>
      <c r="B6">
        <v>2.4500000000000002</v>
      </c>
      <c r="C6">
        <v>4.7</v>
      </c>
      <c r="D6">
        <v>6.09</v>
      </c>
      <c r="E6">
        <v>3.71</v>
      </c>
      <c r="F6">
        <v>1.89</v>
      </c>
      <c r="G6">
        <v>5.29</v>
      </c>
      <c r="H6">
        <v>4.1900000000000004</v>
      </c>
      <c r="I6">
        <v>2.21</v>
      </c>
      <c r="J6">
        <v>4.45</v>
      </c>
      <c r="K6">
        <v>3.94</v>
      </c>
      <c r="L6">
        <v>2.81</v>
      </c>
      <c r="M6">
        <v>2.69</v>
      </c>
      <c r="N6">
        <v>4.3899999999999997</v>
      </c>
      <c r="O6">
        <v>3.77</v>
      </c>
      <c r="P6">
        <v>3.34</v>
      </c>
      <c r="Q6">
        <v>4.29</v>
      </c>
      <c r="R6">
        <v>2.82</v>
      </c>
      <c r="S6">
        <v>4</v>
      </c>
      <c r="T6">
        <v>2.81</v>
      </c>
      <c r="U6">
        <v>3.4</v>
      </c>
      <c r="V6">
        <v>3.9</v>
      </c>
      <c r="W6">
        <v>3.5</v>
      </c>
      <c r="X6">
        <v>2.38</v>
      </c>
      <c r="Y6">
        <v>2.78</v>
      </c>
      <c r="Z6">
        <v>4.01</v>
      </c>
      <c r="AA6">
        <v>2.69</v>
      </c>
      <c r="AB6">
        <v>4.13</v>
      </c>
      <c r="AC6">
        <v>6.15</v>
      </c>
      <c r="AD6">
        <v>4.13</v>
      </c>
      <c r="AE6">
        <v>8.8699999999999992</v>
      </c>
      <c r="AF6">
        <v>7.56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402B-6448-480D-9750-4F47409FA9EB}">
  <dimension ref="A1:Y6"/>
  <sheetViews>
    <sheetView workbookViewId="0">
      <selection activeCell="G10" sqref="G10"/>
    </sheetView>
  </sheetViews>
  <sheetFormatPr defaultRowHeight="14.5" x14ac:dyDescent="0.35"/>
  <cols>
    <col min="1" max="1" width="26.1796875" customWidth="1"/>
  </cols>
  <sheetData>
    <row r="1" spans="1:25" x14ac:dyDescent="0.35">
      <c r="A1" t="s">
        <v>21</v>
      </c>
    </row>
    <row r="2" spans="1:25" x14ac:dyDescent="0.35">
      <c r="A2" t="s">
        <v>3</v>
      </c>
      <c r="B2">
        <v>7.3</v>
      </c>
      <c r="C2">
        <v>6.9</v>
      </c>
      <c r="D2">
        <v>7.6</v>
      </c>
      <c r="E2">
        <v>8</v>
      </c>
      <c r="F2">
        <v>8</v>
      </c>
      <c r="G2">
        <v>8.3000000000000007</v>
      </c>
      <c r="H2">
        <v>8.3000000000000007</v>
      </c>
      <c r="I2">
        <v>8.3000000000000007</v>
      </c>
      <c r="J2">
        <v>8.3000000000000007</v>
      </c>
      <c r="K2">
        <v>8.6999999999999993</v>
      </c>
      <c r="L2">
        <v>8.6999999999999993</v>
      </c>
      <c r="M2">
        <v>8.6999999999999993</v>
      </c>
      <c r="N2">
        <v>9</v>
      </c>
      <c r="O2">
        <v>9.4</v>
      </c>
      <c r="P2">
        <v>9.4</v>
      </c>
      <c r="Q2">
        <v>9.6999999999999993</v>
      </c>
      <c r="R2">
        <v>9.6999999999999993</v>
      </c>
      <c r="S2">
        <v>9.6999999999999993</v>
      </c>
      <c r="T2">
        <v>9.9</v>
      </c>
      <c r="U2">
        <v>10.199999999999999</v>
      </c>
      <c r="V2">
        <v>11.1</v>
      </c>
      <c r="W2">
        <v>11.1</v>
      </c>
      <c r="X2">
        <v>11.6</v>
      </c>
      <c r="Y2">
        <v>12</v>
      </c>
    </row>
    <row r="3" spans="1:25" x14ac:dyDescent="0.35">
      <c r="A3" t="s">
        <v>22</v>
      </c>
      <c r="B3">
        <v>166</v>
      </c>
      <c r="C3">
        <v>234</v>
      </c>
      <c r="D3">
        <v>192</v>
      </c>
      <c r="E3">
        <v>169</v>
      </c>
      <c r="F3">
        <v>154</v>
      </c>
      <c r="G3">
        <v>173</v>
      </c>
      <c r="H3">
        <v>136</v>
      </c>
      <c r="I3">
        <v>140</v>
      </c>
      <c r="J3">
        <v>139</v>
      </c>
      <c r="K3">
        <v>156</v>
      </c>
      <c r="L3">
        <v>134</v>
      </c>
      <c r="M3">
        <v>134</v>
      </c>
      <c r="N3">
        <v>110</v>
      </c>
      <c r="O3">
        <v>130</v>
      </c>
      <c r="P3">
        <v>131</v>
      </c>
      <c r="Q3">
        <v>113</v>
      </c>
      <c r="R3">
        <v>105</v>
      </c>
      <c r="S3">
        <v>110</v>
      </c>
      <c r="T3">
        <v>96</v>
      </c>
      <c r="U3">
        <v>83</v>
      </c>
      <c r="V3">
        <v>72</v>
      </c>
      <c r="W3">
        <v>69</v>
      </c>
      <c r="X3">
        <v>69</v>
      </c>
      <c r="Y3">
        <v>66</v>
      </c>
    </row>
    <row r="4" spans="1:25" x14ac:dyDescent="0.35">
      <c r="A4" t="s">
        <v>36</v>
      </c>
      <c r="B4">
        <v>19.3</v>
      </c>
      <c r="C4">
        <v>24.1</v>
      </c>
      <c r="D4">
        <v>10.5</v>
      </c>
      <c r="E4">
        <v>7.16</v>
      </c>
      <c r="F4">
        <v>5.86</v>
      </c>
      <c r="G4">
        <v>7.39</v>
      </c>
      <c r="H4">
        <v>5.86</v>
      </c>
      <c r="I4">
        <v>4.62</v>
      </c>
      <c r="J4">
        <v>4.66</v>
      </c>
      <c r="K4">
        <v>4.72</v>
      </c>
      <c r="L4">
        <v>3.24</v>
      </c>
      <c r="M4">
        <v>3.11</v>
      </c>
      <c r="N4">
        <v>2.68</v>
      </c>
      <c r="O4">
        <v>3.27</v>
      </c>
      <c r="P4">
        <v>3.35</v>
      </c>
      <c r="Q4">
        <v>2.34</v>
      </c>
      <c r="R4">
        <v>2.21</v>
      </c>
      <c r="S4">
        <v>2.21</v>
      </c>
      <c r="T4">
        <v>1.41</v>
      </c>
      <c r="U4">
        <v>0.99399999999999999</v>
      </c>
      <c r="V4">
        <v>0.96399999999999997</v>
      </c>
      <c r="W4">
        <v>0.72699999999999998</v>
      </c>
      <c r="X4">
        <v>0.65600000000000003</v>
      </c>
      <c r="Y4">
        <v>0.65800000000000003</v>
      </c>
    </row>
    <row r="5" spans="1:25" x14ac:dyDescent="0.35">
      <c r="A5" t="s">
        <v>23</v>
      </c>
      <c r="B5">
        <v>66</v>
      </c>
      <c r="C5">
        <v>143</v>
      </c>
      <c r="D5">
        <v>122</v>
      </c>
      <c r="E5">
        <v>106</v>
      </c>
      <c r="F5">
        <v>88</v>
      </c>
      <c r="G5">
        <v>101</v>
      </c>
      <c r="H5">
        <v>108</v>
      </c>
      <c r="I5">
        <v>100</v>
      </c>
      <c r="J5">
        <v>93</v>
      </c>
      <c r="K5">
        <v>100</v>
      </c>
      <c r="L5">
        <v>92</v>
      </c>
      <c r="M5">
        <v>92</v>
      </c>
      <c r="N5">
        <v>78</v>
      </c>
      <c r="O5">
        <v>86</v>
      </c>
      <c r="P5">
        <v>82</v>
      </c>
      <c r="Q5">
        <v>82</v>
      </c>
      <c r="R5">
        <v>72</v>
      </c>
      <c r="S5">
        <v>82</v>
      </c>
      <c r="T5">
        <v>67</v>
      </c>
      <c r="U5">
        <v>64</v>
      </c>
      <c r="V5">
        <v>57</v>
      </c>
      <c r="W5">
        <v>56</v>
      </c>
      <c r="X5">
        <v>56</v>
      </c>
      <c r="Y5">
        <v>57</v>
      </c>
    </row>
    <row r="6" spans="1:25" x14ac:dyDescent="0.35">
      <c r="A6" t="s">
        <v>37</v>
      </c>
      <c r="B6">
        <v>38.299999999999997</v>
      </c>
      <c r="C6">
        <v>37.4</v>
      </c>
      <c r="D6">
        <v>9.4700000000000006</v>
      </c>
      <c r="E6">
        <v>4.08</v>
      </c>
      <c r="F6">
        <v>4.03</v>
      </c>
      <c r="G6">
        <v>5.14</v>
      </c>
      <c r="H6">
        <v>5.7</v>
      </c>
      <c r="I6">
        <v>3.38</v>
      </c>
      <c r="J6">
        <v>2.73</v>
      </c>
      <c r="K6">
        <v>2.3199999999999998</v>
      </c>
      <c r="L6">
        <v>1.77</v>
      </c>
      <c r="M6">
        <v>1.71</v>
      </c>
      <c r="N6">
        <v>1.2549999999999999</v>
      </c>
      <c r="O6">
        <v>1.62</v>
      </c>
      <c r="P6">
        <v>1.44</v>
      </c>
      <c r="Q6">
        <v>1.3</v>
      </c>
      <c r="R6">
        <v>1.1299999999999999</v>
      </c>
      <c r="S6">
        <v>1.1399999999999999</v>
      </c>
      <c r="T6">
        <v>0.64300000000000002</v>
      </c>
      <c r="U6">
        <v>0.438</v>
      </c>
      <c r="V6">
        <v>0.32600000000000001</v>
      </c>
      <c r="W6">
        <v>0.26300000000000001</v>
      </c>
      <c r="X6">
        <v>0.20100000000000001</v>
      </c>
      <c r="Y6">
        <v>0.18099999999999999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B8FD-26CC-49F2-AF25-4A096CE615E9}">
  <dimension ref="A1:AH4"/>
  <sheetViews>
    <sheetView tabSelected="1" workbookViewId="0">
      <selection activeCell="D7" sqref="D7"/>
    </sheetView>
  </sheetViews>
  <sheetFormatPr defaultRowHeight="14.5" x14ac:dyDescent="0.35"/>
  <cols>
    <col min="1" max="1" width="24" customWidth="1"/>
  </cols>
  <sheetData>
    <row r="1" spans="1:34" x14ac:dyDescent="0.35">
      <c r="A1" t="s">
        <v>27</v>
      </c>
    </row>
    <row r="2" spans="1:34" x14ac:dyDescent="0.35">
      <c r="A2" t="s">
        <v>28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29</v>
      </c>
      <c r="B3">
        <v>3</v>
      </c>
      <c r="C3">
        <v>7</v>
      </c>
      <c r="D3">
        <v>9</v>
      </c>
      <c r="E3">
        <v>13</v>
      </c>
      <c r="F3">
        <v>18</v>
      </c>
      <c r="G3">
        <v>14</v>
      </c>
      <c r="H3">
        <v>22</v>
      </c>
      <c r="I3">
        <v>22</v>
      </c>
      <c r="J3">
        <v>21</v>
      </c>
      <c r="K3">
        <v>46</v>
      </c>
      <c r="L3">
        <v>55</v>
      </c>
      <c r="M3">
        <v>145</v>
      </c>
      <c r="N3">
        <v>349</v>
      </c>
      <c r="O3">
        <v>360</v>
      </c>
      <c r="P3">
        <v>243</v>
      </c>
      <c r="Q3">
        <v>361</v>
      </c>
      <c r="R3">
        <v>500</v>
      </c>
      <c r="S3">
        <v>545</v>
      </c>
      <c r="T3">
        <v>760</v>
      </c>
      <c r="U3">
        <v>1019</v>
      </c>
      <c r="V3">
        <v>1143</v>
      </c>
      <c r="W3">
        <v>1508</v>
      </c>
      <c r="X3">
        <v>1254</v>
      </c>
      <c r="Y3">
        <v>1403</v>
      </c>
      <c r="Z3">
        <v>1594</v>
      </c>
      <c r="AA3">
        <v>1652</v>
      </c>
      <c r="AB3">
        <v>2010</v>
      </c>
      <c r="AC3">
        <v>4127</v>
      </c>
      <c r="AD3">
        <v>6780</v>
      </c>
      <c r="AE3">
        <v>8722</v>
      </c>
      <c r="AF3">
        <v>12393</v>
      </c>
      <c r="AG3">
        <v>21027</v>
      </c>
      <c r="AH3">
        <v>23081</v>
      </c>
    </row>
    <row r="4" spans="1:34" x14ac:dyDescent="0.35">
      <c r="A4" t="s">
        <v>30</v>
      </c>
      <c r="B4">
        <v>3</v>
      </c>
      <c r="C4">
        <v>6</v>
      </c>
      <c r="D4">
        <v>7</v>
      </c>
      <c r="E4">
        <v>13</v>
      </c>
      <c r="F4">
        <v>18</v>
      </c>
      <c r="G4">
        <v>12</v>
      </c>
      <c r="H4">
        <v>22</v>
      </c>
      <c r="I4">
        <v>21</v>
      </c>
      <c r="J4">
        <v>21</v>
      </c>
      <c r="K4">
        <v>46</v>
      </c>
      <c r="L4">
        <v>52</v>
      </c>
      <c r="M4">
        <v>108</v>
      </c>
      <c r="N4">
        <v>209</v>
      </c>
      <c r="O4">
        <v>229</v>
      </c>
      <c r="P4">
        <v>160</v>
      </c>
      <c r="Q4">
        <v>228</v>
      </c>
      <c r="R4">
        <v>277</v>
      </c>
      <c r="S4">
        <v>297</v>
      </c>
      <c r="T4">
        <v>342</v>
      </c>
      <c r="U4">
        <v>465</v>
      </c>
      <c r="V4">
        <v>518</v>
      </c>
      <c r="W4">
        <v>608</v>
      </c>
      <c r="X4">
        <v>512</v>
      </c>
      <c r="Y4">
        <v>537</v>
      </c>
      <c r="Z4">
        <v>682</v>
      </c>
      <c r="AA4">
        <v>654</v>
      </c>
      <c r="AB4">
        <v>748</v>
      </c>
      <c r="AC4">
        <v>1342</v>
      </c>
      <c r="AD4">
        <v>1719</v>
      </c>
      <c r="AE4">
        <v>1789</v>
      </c>
      <c r="AF4">
        <v>2376</v>
      </c>
      <c r="AG4">
        <v>3308</v>
      </c>
      <c r="AH4">
        <v>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5b</vt:lpstr>
      <vt:lpstr>FIG 5c</vt:lpstr>
      <vt:lpstr>FIG 5e</vt:lpstr>
      <vt:lpstr>FIG 5i</vt:lpstr>
      <vt:lpstr>FIG 5j</vt:lpstr>
      <vt:lpstr>FIG 5l</vt:lpstr>
      <vt:lpstr>FIG 5m</vt:lpstr>
      <vt:lpstr>FIG 5n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Lobaskin</dc:creator>
  <cp:lastModifiedBy>Ivan Lobaskin</cp:lastModifiedBy>
  <dcterms:created xsi:type="dcterms:W3CDTF">2026-05-12T14:25:28Z</dcterms:created>
  <dcterms:modified xsi:type="dcterms:W3CDTF">2026-08-21T17:49:50Z</dcterms:modified>
</cp:coreProperties>
</file>